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Sheet2" sheetId="2" r:id="rId1"/>
    <sheet name="Sheet3" sheetId="3" r:id="rId2"/>
    <sheet name="Sheet1" sheetId="4" r:id="rId3"/>
    <sheet name="Sheet4" sheetId="5" r:id="rId4"/>
    <sheet name="Sheet5" sheetId="6" r:id="rId5"/>
    <sheet name="Sheet6" sheetId="7" r:id="rId6"/>
  </sheets>
  <definedNames>
    <definedName name="_xlnm._FilterDatabase" localSheetId="0" hidden="1">Sheet2!$A$1:$K$35</definedName>
    <definedName name="_xlnm._FilterDatabase" localSheetId="1" hidden="1">Sheet3!$A$2:$M$25</definedName>
    <definedName name="_xlnm._FilterDatabase" localSheetId="2" hidden="1">Sheet1!$A$1:$Q$34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D03030</author>
  </authors>
  <commentList>
    <comment ref="H13" authorId="0">
      <text>
        <r>
          <rPr>
            <b/>
            <sz val="9"/>
            <rFont val="宋体"/>
            <charset val="134"/>
          </rPr>
          <t>D03030:</t>
        </r>
        <r>
          <rPr>
            <sz val="9"/>
            <rFont val="宋体"/>
            <charset val="134"/>
          </rPr>
          <t xml:space="preserve">
用3料管拉伸机170/天。</t>
        </r>
      </text>
    </comment>
  </commentList>
</comments>
</file>

<file path=xl/comments2.xml><?xml version="1.0" encoding="utf-8"?>
<comments xmlns="http://schemas.openxmlformats.org/spreadsheetml/2006/main">
  <authors>
    <author>BJB079</author>
  </authors>
  <commentList>
    <comment ref="D1" authorId="0">
      <text>
        <r>
          <rPr>
            <b/>
            <sz val="9"/>
            <rFont val="宋体"/>
            <charset val="134"/>
          </rPr>
          <t>BJB079:</t>
        </r>
        <r>
          <rPr>
            <sz val="9"/>
            <rFont val="宋体"/>
            <charset val="134"/>
          </rPr>
          <t xml:space="preserve">
现有产能300/班（含棘突，棘突球囊最高240/班）</t>
        </r>
      </text>
    </comment>
    <comment ref="L1" authorId="0">
      <text>
        <r>
          <rPr>
            <b/>
            <sz val="9"/>
            <rFont val="宋体"/>
            <charset val="134"/>
          </rPr>
          <t>BJB079:</t>
        </r>
        <r>
          <rPr>
            <sz val="9"/>
            <rFont val="宋体"/>
            <charset val="134"/>
          </rPr>
          <t xml:space="preserve">
球囊总产能700/班（含棘突200/班）</t>
        </r>
      </text>
    </comment>
    <comment ref="M1" authorId="0">
      <text>
        <r>
          <rPr>
            <b/>
            <sz val="9"/>
            <rFont val="宋体"/>
            <charset val="134"/>
          </rPr>
          <t>BJB079:</t>
        </r>
        <r>
          <rPr>
            <sz val="9"/>
            <rFont val="宋体"/>
            <charset val="134"/>
          </rPr>
          <t xml:space="preserve">
球囊总产能1300/班（含棘突850/班）
棘突球囊250000/年，其他球囊120000（含30000支研发）</t>
        </r>
      </text>
    </comment>
    <comment ref="O1" authorId="0">
      <text>
        <r>
          <rPr>
            <b/>
            <sz val="9"/>
            <rFont val="宋体"/>
            <charset val="134"/>
          </rPr>
          <t>BJB079:</t>
        </r>
        <r>
          <rPr>
            <sz val="9"/>
            <rFont val="宋体"/>
            <charset val="134"/>
          </rPr>
          <t xml:space="preserve">
球囊总产能1300/班（含棘突850/班）
棘突球囊250000/年，其他球囊120000（含30000支研发）
</t>
        </r>
      </text>
    </comment>
    <comment ref="D15" authorId="0">
      <text>
        <r>
          <rPr>
            <b/>
            <sz val="9"/>
            <rFont val="宋体"/>
            <charset val="134"/>
          </rPr>
          <t>BJB079:</t>
        </r>
        <r>
          <rPr>
            <sz val="9"/>
            <rFont val="宋体"/>
            <charset val="134"/>
          </rPr>
          <t xml:space="preserve">
待确认-张嘉忆</t>
        </r>
      </text>
    </comment>
    <comment ref="D25" authorId="0">
      <text>
        <r>
          <rPr>
            <b/>
            <sz val="9"/>
            <rFont val="宋体"/>
            <charset val="134"/>
          </rPr>
          <t>BJB079:</t>
        </r>
        <r>
          <rPr>
            <sz val="9"/>
            <rFont val="宋体"/>
            <charset val="134"/>
          </rPr>
          <t xml:space="preserve">
设备增加1台，产能缺口需加班或者开夜班</t>
        </r>
      </text>
    </comment>
    <comment ref="D28" authorId="0">
      <text>
        <r>
          <rPr>
            <b/>
            <sz val="9"/>
            <rFont val="宋体"/>
            <charset val="134"/>
          </rPr>
          <t>BJB079:</t>
        </r>
        <r>
          <rPr>
            <sz val="9"/>
            <rFont val="宋体"/>
            <charset val="134"/>
          </rPr>
          <t xml:space="preserve">
设备增加1台，产能缺口需加班或者开夜班
</t>
        </r>
      </text>
    </comment>
  </commentList>
</comments>
</file>

<file path=xl/sharedStrings.xml><?xml version="1.0" encoding="utf-8"?>
<sst xmlns="http://schemas.openxmlformats.org/spreadsheetml/2006/main" count="397" uniqueCount="152">
  <si>
    <t>产品大类</t>
  </si>
  <si>
    <t>序号</t>
  </si>
  <si>
    <t>工序名称</t>
  </si>
  <si>
    <t>设备类型</t>
  </si>
  <si>
    <t>是否关键工序</t>
  </si>
  <si>
    <t>设备编码</t>
  </si>
  <si>
    <t>车间现场设备名称</t>
  </si>
  <si>
    <t>日设备标准产能</t>
  </si>
  <si>
    <t>棘突球囊扩张导管</t>
  </si>
  <si>
    <t>印刷球囊导管座</t>
  </si>
  <si>
    <t>设备</t>
  </si>
  <si>
    <t>辅助工序</t>
  </si>
  <si>
    <t>B09019</t>
  </si>
  <si>
    <t>移印机</t>
  </si>
  <si>
    <t>吹球囊成型</t>
  </si>
  <si>
    <t>关键工序</t>
  </si>
  <si>
    <t>A03197/A03214/A03190</t>
  </si>
  <si>
    <t>球囊成型机</t>
  </si>
  <si>
    <t>球囊全检</t>
  </si>
  <si>
    <t>工装</t>
  </si>
  <si>
    <t>C01422/BS25045</t>
  </si>
  <si>
    <t>电子放大镜</t>
  </si>
  <si>
    <t>球囊裁剪</t>
  </si>
  <si>
    <t>B09222</t>
  </si>
  <si>
    <t>切管工装</t>
  </si>
  <si>
    <t>外管拉伸</t>
  </si>
  <si>
    <t>A03215</t>
  </si>
  <si>
    <t>球囊导管拉伸机</t>
  </si>
  <si>
    <t>三工位A03388   650支</t>
  </si>
  <si>
    <t>内管拉伸</t>
  </si>
  <si>
    <t>三工位A03388   840支</t>
  </si>
  <si>
    <t>外管、内管、球囊热处理</t>
  </si>
  <si>
    <t>B04116</t>
  </si>
  <si>
    <t>烘箱</t>
  </si>
  <si>
    <t>/</t>
  </si>
  <si>
    <t>外管与球囊焊接</t>
  </si>
  <si>
    <t>A03196/A03232/A03221</t>
  </si>
  <si>
    <t>激光焊接机</t>
  </si>
  <si>
    <t>外管切缝</t>
  </si>
  <si>
    <t>B09212</t>
  </si>
  <si>
    <t>导管切缝工装</t>
  </si>
  <si>
    <t>穿显影环</t>
  </si>
  <si>
    <t>手工</t>
  </si>
  <si>
    <t>压显影环</t>
  </si>
  <si>
    <t>B09289</t>
  </si>
  <si>
    <t>显影环锻打机</t>
  </si>
  <si>
    <t>棘突丝拉伸</t>
  </si>
  <si>
    <t>棘突丝拉伸设备</t>
  </si>
  <si>
    <t>三工位A03388   170支</t>
  </si>
  <si>
    <t>棘突丝热处理</t>
  </si>
  <si>
    <t>棘突丝切割</t>
  </si>
  <si>
    <t>B09315</t>
  </si>
  <si>
    <t>棘突丝切割设备</t>
  </si>
  <si>
    <t>棘突丝外观全检</t>
  </si>
  <si>
    <t>热缩管塑形</t>
  </si>
  <si>
    <t>热风焊接机</t>
  </si>
  <si>
    <t>A06002/B090229</t>
  </si>
  <si>
    <t>TPU塑型</t>
  </si>
  <si>
    <t>棘突丝焊接远端套管</t>
  </si>
  <si>
    <t>A03232</t>
  </si>
  <si>
    <t>棘突丝焊接远端套管塑型</t>
  </si>
  <si>
    <t>棘突丝焊接套管近端</t>
  </si>
  <si>
    <t>棘突笼TPU套管粘接</t>
  </si>
  <si>
    <t>B09263/B09133</t>
  </si>
  <si>
    <t>点光源</t>
  </si>
  <si>
    <t>焊接远端第一步</t>
  </si>
  <si>
    <t>焊接远端锥度</t>
  </si>
  <si>
    <t>A05216</t>
  </si>
  <si>
    <t>热容焊接机</t>
  </si>
  <si>
    <t>快速交换口焊接</t>
  </si>
  <si>
    <t>A03204</t>
  </si>
  <si>
    <t>RX口检测</t>
  </si>
  <si>
    <t>B12046</t>
  </si>
  <si>
    <t>球囊扩压工装</t>
  </si>
  <si>
    <t>点胶海波管</t>
  </si>
  <si>
    <t>A05035</t>
  </si>
  <si>
    <t>光固机</t>
  </si>
  <si>
    <t>球囊压握</t>
  </si>
  <si>
    <t>B09053</t>
  </si>
  <si>
    <t>球囊折叠机</t>
  </si>
  <si>
    <t>远端锥度焊接</t>
  </si>
  <si>
    <t>棘突笼近端套管粘接</t>
  </si>
  <si>
    <t>裁剪圆角</t>
  </si>
  <si>
    <t>B09262</t>
  </si>
  <si>
    <t>球囊切管工装</t>
  </si>
  <si>
    <t>焊接圆角</t>
  </si>
  <si>
    <t>棘突球囊涂层</t>
  </si>
  <si>
    <t>A03247</t>
  </si>
  <si>
    <t>浸涂机</t>
  </si>
  <si>
    <t>球囊盘管（机器）</t>
  </si>
  <si>
    <t>B09326</t>
  </si>
  <si>
    <t>导丝护套盘管机</t>
  </si>
  <si>
    <t>球囊测漏及全检</t>
  </si>
  <si>
    <t>C01185</t>
  </si>
  <si>
    <t>高精度智能气密测试仪</t>
  </si>
  <si>
    <t>球囊工段设备日产能</t>
  </si>
  <si>
    <t>设备名称</t>
  </si>
  <si>
    <t>数量（台）</t>
  </si>
  <si>
    <t>设备日产能（支）</t>
  </si>
  <si>
    <t>人数</t>
  </si>
  <si>
    <t>备注</t>
  </si>
  <si>
    <t>球囊吹塑</t>
  </si>
  <si>
    <t>1、如果订单数量较少，更换模具频次会增多，还需要首检，耗时比较长，影响设备产能
 2、除了这些规格有两套模具PTCA2.0*15mm/2.0*20mm/2.5*15mm/2.5*20,其它规格都只有一套</t>
  </si>
  <si>
    <t>外管、内管拉伸</t>
  </si>
  <si>
    <t>导管拉伸机</t>
  </si>
  <si>
    <t>外管（270）/内管（430）</t>
  </si>
  <si>
    <t>裁剪球囊</t>
  </si>
  <si>
    <t>切缝工装</t>
  </si>
  <si>
    <t>内管与尖端管焊接</t>
  </si>
  <si>
    <t>球囊与外管焊接</t>
  </si>
  <si>
    <t>增加一人辅助产出500支/天</t>
  </si>
  <si>
    <t>检测工装</t>
  </si>
  <si>
    <t>球囊涂层</t>
  </si>
  <si>
    <t>球囊组件与海波管焊接</t>
  </si>
  <si>
    <t>每台500支</t>
  </si>
  <si>
    <t>折叠压握机</t>
  </si>
  <si>
    <t>球囊侧漏及全检</t>
  </si>
  <si>
    <t>智能气密检测仪</t>
  </si>
  <si>
    <t>显微镜下全检及装护套管</t>
  </si>
  <si>
    <t>裁切管材</t>
  </si>
  <si>
    <t>球囊盘管</t>
  </si>
  <si>
    <t>盘管机</t>
  </si>
  <si>
    <t>清洗带环芯轴</t>
  </si>
  <si>
    <t>保护套扩孔</t>
  </si>
  <si>
    <t>电烙铁</t>
  </si>
  <si>
    <t xml:space="preserve">1、日产能400支：需要增加1台球囊成型机、1台折叠压握机，需求16人。
2、日产能450支：需要增加1台球囊成型机、1台折叠压握机，需求19人。
3、日产能500支：需要增加2台球囊成型机、1台折叠压握机、1台激光焊接机，需求22人。
4、日产能550：需要增加2台球囊成型机、1台折叠压握机、1台激光焊接机、1台浸涂机、1台RX口检测工装，需求26人。
</t>
  </si>
  <si>
    <t>工序</t>
  </si>
  <si>
    <t>产能/台/班</t>
  </si>
  <si>
    <t>产能/人/班</t>
  </si>
  <si>
    <t>日产能</t>
  </si>
  <si>
    <t>人力</t>
  </si>
  <si>
    <t>设备需增</t>
  </si>
  <si>
    <t>人力需求</t>
  </si>
  <si>
    <t>设备采购周期/月</t>
  </si>
  <si>
    <t>无需人力</t>
  </si>
  <si>
    <t>激光</t>
  </si>
  <si>
    <t>单，三工位200</t>
  </si>
  <si>
    <t>三工位</t>
  </si>
  <si>
    <t>75%合格率</t>
  </si>
  <si>
    <t>热风</t>
  </si>
  <si>
    <t>热熔焊接机</t>
  </si>
  <si>
    <t>10腔</t>
  </si>
  <si>
    <t>400万</t>
  </si>
  <si>
    <t>球囊（含棘突）</t>
  </si>
  <si>
    <t>棘突</t>
  </si>
  <si>
    <t>26年</t>
  </si>
  <si>
    <t>700/班</t>
  </si>
  <si>
    <t>200/班</t>
  </si>
  <si>
    <t>内贸</t>
  </si>
  <si>
    <t>外贸</t>
  </si>
  <si>
    <t>研发</t>
  </si>
  <si>
    <t>预扩+后扩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</si>
</sst>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等线"/>
      <charset val="134"/>
    </font>
    <font>
      <sz val="22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0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14D"/>
        <bgColor indexed="64"/>
      </patternFill>
    </fill>
    <fill>
      <patternFill patternType="solid">
        <fgColor rgb="FF04B0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7" borderId="17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8">
      <alignment vertical="center"/>
    </xf>
    <xf numFmtId="0" fontId="14" fillId="0" borderId="18">
      <alignment vertical="center"/>
    </xf>
    <xf numFmtId="0" fontId="15" fillId="0" borderId="19">
      <alignment vertical="center"/>
    </xf>
    <xf numFmtId="0" fontId="15" fillId="0" borderId="0">
      <alignment vertical="center"/>
    </xf>
    <xf numFmtId="0" fontId="16" fillId="8" borderId="20">
      <alignment vertical="center"/>
    </xf>
    <xf numFmtId="0" fontId="17" fillId="9" borderId="21">
      <alignment vertical="center"/>
    </xf>
    <xf numFmtId="0" fontId="18" fillId="9" borderId="20">
      <alignment vertical="center"/>
    </xf>
    <xf numFmtId="0" fontId="19" fillId="10" borderId="22">
      <alignment vertical="center"/>
    </xf>
    <xf numFmtId="0" fontId="20" fillId="0" borderId="23">
      <alignment vertical="center"/>
    </xf>
    <xf numFmtId="0" fontId="21" fillId="0" borderId="24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5" fillId="37" borderId="0">
      <alignment vertical="center"/>
    </xf>
  </cellStyleXfs>
  <cellXfs count="49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2" fillId="0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9" fontId="2" fillId="0" borderId="2" xfId="0" applyNumberFormat="1" applyFont="1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9" fontId="2" fillId="0" borderId="3" xfId="0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9" fontId="2" fillId="0" borderId="6" xfId="0" applyNumberFormat="1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3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2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7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9" fontId="2" fillId="0" borderId="8" xfId="0" applyNumberFormat="1" applyFont="1" applyFill="1" applyBorder="1" applyAlignment="1">
      <alignment horizontal="left" vertical="center" wrapText="1"/>
    </xf>
    <xf numFmtId="9" fontId="2" fillId="0" borderId="9" xfId="0" applyNumberFormat="1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4" borderId="13" xfId="0" applyFont="1" applyFill="1" applyBorder="1" applyAlignment="1">
      <alignment horizontal="center" vertical="center"/>
    </xf>
    <xf numFmtId="0" fontId="4" fillId="4" borderId="14" xfId="0" applyNumberFormat="1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6" fillId="5" borderId="1" xfId="0" applyFont="1" applyFill="1" applyBorder="1" applyAlignment="1" applyProtection="1">
      <alignment horizontal="center" vertical="center"/>
    </xf>
    <xf numFmtId="0" fontId="6" fillId="6" borderId="1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vertical="center"/>
    </xf>
    <xf numFmtId="0" fontId="7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zoomScale="145" zoomScaleNormal="145" workbookViewId="0">
      <selection activeCell="C13" sqref="C13:G13"/>
    </sheetView>
  </sheetViews>
  <sheetFormatPr defaultColWidth="9" defaultRowHeight="14.4"/>
  <cols>
    <col min="1" max="1" width="17.1296296296296" customWidth="1"/>
    <col min="2" max="2" width="6.37962962962963" customWidth="1"/>
    <col min="3" max="3" width="18.962962962963" customWidth="1"/>
    <col min="6" max="6" width="20" customWidth="1"/>
    <col min="7" max="7" width="17.1296296296296" customWidth="1"/>
    <col min="8" max="8" width="14.75" customWidth="1"/>
  </cols>
  <sheetData>
    <row r="1" spans="1:1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6" t="s">
        <v>7</v>
      </c>
    </row>
    <row r="2" spans="1:11">
      <c r="A2" s="47" t="s">
        <v>8</v>
      </c>
      <c r="B2" s="47">
        <v>1</v>
      </c>
      <c r="C2" s="47" t="s">
        <v>9</v>
      </c>
      <c r="D2" s="47" t="s">
        <v>10</v>
      </c>
      <c r="E2" s="47" t="s">
        <v>11</v>
      </c>
      <c r="F2" s="47" t="s">
        <v>12</v>
      </c>
      <c r="G2" s="47" t="s">
        <v>13</v>
      </c>
      <c r="H2" s="47" t="str">
        <f>IFERROR(VLOOKUP(F2,#REF!,5,0),"")</f>
        <v/>
      </c>
    </row>
    <row r="3" spans="1:11">
      <c r="A3" s="47" t="s">
        <v>8</v>
      </c>
      <c r="B3" s="47">
        <v>2</v>
      </c>
      <c r="C3" s="47" t="s">
        <v>14</v>
      </c>
      <c r="D3" s="47" t="s">
        <v>10</v>
      </c>
      <c r="E3" s="47" t="s">
        <v>15</v>
      </c>
      <c r="F3" s="47" t="s">
        <v>16</v>
      </c>
      <c r="G3" s="47" t="s">
        <v>17</v>
      </c>
      <c r="H3" s="47">
        <v>180</v>
      </c>
    </row>
    <row r="4" spans="1:11">
      <c r="A4" s="47" t="s">
        <v>8</v>
      </c>
      <c r="B4" s="47">
        <v>3</v>
      </c>
      <c r="C4" s="47" t="s">
        <v>18</v>
      </c>
      <c r="D4" s="47" t="s">
        <v>19</v>
      </c>
      <c r="E4" s="47" t="s">
        <v>11</v>
      </c>
      <c r="F4" s="47" t="s">
        <v>20</v>
      </c>
      <c r="G4" s="47" t="s">
        <v>21</v>
      </c>
      <c r="H4" s="47">
        <v>300</v>
      </c>
    </row>
    <row r="5" spans="1:11">
      <c r="A5" s="47" t="s">
        <v>8</v>
      </c>
      <c r="B5" s="47">
        <v>4</v>
      </c>
      <c r="C5" s="47" t="s">
        <v>22</v>
      </c>
      <c r="D5" s="47" t="s">
        <v>19</v>
      </c>
      <c r="E5" s="47" t="s">
        <v>15</v>
      </c>
      <c r="F5" s="47" t="s">
        <v>23</v>
      </c>
      <c r="G5" s="47" t="s">
        <v>24</v>
      </c>
      <c r="H5" s="47">
        <v>1550</v>
      </c>
    </row>
    <row r="6" spans="1:11">
      <c r="A6" s="47" t="s">
        <v>8</v>
      </c>
      <c r="B6" s="47">
        <v>5</v>
      </c>
      <c r="C6" s="47" t="s">
        <v>25</v>
      </c>
      <c r="D6" s="47" t="s">
        <v>10</v>
      </c>
      <c r="E6" s="47" t="s">
        <v>15</v>
      </c>
      <c r="F6" s="47" t="s">
        <v>26</v>
      </c>
      <c r="G6" s="47" t="s">
        <v>27</v>
      </c>
      <c r="H6" s="47">
        <v>270</v>
      </c>
      <c r="I6" s="48" t="s">
        <v>28</v>
      </c>
      <c r="J6" s="48"/>
      <c r="K6" s="48"/>
    </row>
    <row r="7" spans="1:11">
      <c r="A7" s="47" t="s">
        <v>8</v>
      </c>
      <c r="B7" s="47">
        <v>6</v>
      </c>
      <c r="C7" s="47" t="s">
        <v>29</v>
      </c>
      <c r="D7" s="47" t="s">
        <v>10</v>
      </c>
      <c r="E7" s="47" t="s">
        <v>15</v>
      </c>
      <c r="F7" s="47" t="s">
        <v>26</v>
      </c>
      <c r="G7" s="47" t="s">
        <v>27</v>
      </c>
      <c r="H7" s="47">
        <v>420</v>
      </c>
      <c r="I7" s="48" t="s">
        <v>30</v>
      </c>
      <c r="J7" s="48"/>
      <c r="K7" s="48"/>
    </row>
    <row r="8" spans="1:11">
      <c r="A8" s="47" t="s">
        <v>8</v>
      </c>
      <c r="B8" s="47">
        <v>7</v>
      </c>
      <c r="C8" s="47" t="s">
        <v>31</v>
      </c>
      <c r="D8" s="47" t="s">
        <v>19</v>
      </c>
      <c r="E8" s="47" t="s">
        <v>11</v>
      </c>
      <c r="F8" s="47" t="s">
        <v>32</v>
      </c>
      <c r="G8" s="47" t="s">
        <v>33</v>
      </c>
      <c r="H8" s="47" t="s">
        <v>34</v>
      </c>
      <c r="I8" s="48"/>
      <c r="J8" s="48"/>
      <c r="K8" s="48"/>
    </row>
    <row r="9" spans="1:11">
      <c r="A9" s="47" t="s">
        <v>8</v>
      </c>
      <c r="B9" s="47">
        <v>8</v>
      </c>
      <c r="C9" s="47" t="s">
        <v>35</v>
      </c>
      <c r="D9" s="47" t="s">
        <v>10</v>
      </c>
      <c r="E9" s="47" t="s">
        <v>15</v>
      </c>
      <c r="F9" s="47" t="s">
        <v>36</v>
      </c>
      <c r="G9" s="47" t="s">
        <v>37</v>
      </c>
      <c r="H9" s="47">
        <v>585</v>
      </c>
      <c r="I9" s="48"/>
      <c r="J9" s="48"/>
      <c r="K9" s="48"/>
    </row>
    <row r="10" spans="1:11">
      <c r="A10" s="47" t="s">
        <v>8</v>
      </c>
      <c r="B10" s="47">
        <v>9</v>
      </c>
      <c r="C10" s="47" t="s">
        <v>38</v>
      </c>
      <c r="D10" s="47" t="s">
        <v>19</v>
      </c>
      <c r="E10" s="47" t="s">
        <v>11</v>
      </c>
      <c r="F10" s="47" t="s">
        <v>39</v>
      </c>
      <c r="G10" s="47" t="s">
        <v>40</v>
      </c>
      <c r="H10" s="47">
        <v>1950</v>
      </c>
      <c r="I10" s="48"/>
      <c r="J10" s="48"/>
      <c r="K10" s="48"/>
    </row>
    <row r="11" spans="1:11">
      <c r="A11" s="47" t="s">
        <v>8</v>
      </c>
      <c r="B11" s="47">
        <v>10</v>
      </c>
      <c r="C11" s="47" t="s">
        <v>41</v>
      </c>
      <c r="D11" s="47" t="s">
        <v>42</v>
      </c>
      <c r="E11" s="47" t="s">
        <v>11</v>
      </c>
      <c r="F11" s="47" t="s">
        <v>34</v>
      </c>
      <c r="G11" s="47" t="s">
        <v>34</v>
      </c>
      <c r="H11" s="47">
        <v>740</v>
      </c>
      <c r="I11" s="48"/>
      <c r="J11" s="48"/>
      <c r="K11" s="48"/>
    </row>
    <row r="12" spans="1:11">
      <c r="A12" s="47" t="s">
        <v>8</v>
      </c>
      <c r="B12" s="47">
        <v>11</v>
      </c>
      <c r="C12" s="47" t="s">
        <v>43</v>
      </c>
      <c r="D12" s="47" t="s">
        <v>10</v>
      </c>
      <c r="E12" s="47" t="s">
        <v>11</v>
      </c>
      <c r="F12" s="47" t="s">
        <v>44</v>
      </c>
      <c r="G12" s="47" t="s">
        <v>45</v>
      </c>
      <c r="H12" s="47">
        <v>600</v>
      </c>
      <c r="I12" s="48"/>
      <c r="J12" s="48"/>
      <c r="K12" s="48"/>
    </row>
    <row r="13" spans="1:11">
      <c r="A13" s="47" t="s">
        <v>8</v>
      </c>
      <c r="B13" s="47">
        <v>12</v>
      </c>
      <c r="C13" s="47" t="s">
        <v>46</v>
      </c>
      <c r="D13" s="47" t="s">
        <v>10</v>
      </c>
      <c r="E13" s="47" t="s">
        <v>11</v>
      </c>
      <c r="F13" s="47" t="s">
        <v>26</v>
      </c>
      <c r="G13" s="47" t="s">
        <v>47</v>
      </c>
      <c r="H13" s="47">
        <v>85</v>
      </c>
      <c r="I13" s="48" t="s">
        <v>48</v>
      </c>
      <c r="J13" s="48"/>
      <c r="K13" s="48"/>
    </row>
    <row r="14" spans="1:11">
      <c r="A14" s="47" t="s">
        <v>8</v>
      </c>
      <c r="B14" s="47">
        <v>13</v>
      </c>
      <c r="C14" s="47" t="s">
        <v>49</v>
      </c>
      <c r="D14" s="47" t="s">
        <v>33</v>
      </c>
      <c r="E14" s="47" t="s">
        <v>11</v>
      </c>
      <c r="F14" s="47" t="s">
        <v>32</v>
      </c>
      <c r="G14" s="47" t="s">
        <v>33</v>
      </c>
      <c r="H14" s="47">
        <v>210</v>
      </c>
    </row>
    <row r="15" spans="1:11">
      <c r="A15" s="47" t="s">
        <v>8</v>
      </c>
      <c r="B15" s="47">
        <v>14</v>
      </c>
      <c r="C15" s="47" t="s">
        <v>50</v>
      </c>
      <c r="D15" s="47" t="s">
        <v>3</v>
      </c>
      <c r="E15" s="47" t="s">
        <v>15</v>
      </c>
      <c r="F15" s="47" t="s">
        <v>51</v>
      </c>
      <c r="G15" s="47" t="s">
        <v>52</v>
      </c>
      <c r="H15" s="47">
        <v>300</v>
      </c>
    </row>
    <row r="16" spans="1:11">
      <c r="A16" s="47" t="s">
        <v>8</v>
      </c>
      <c r="B16" s="47">
        <v>15</v>
      </c>
      <c r="C16" s="47" t="s">
        <v>53</v>
      </c>
      <c r="D16" s="47" t="s">
        <v>19</v>
      </c>
      <c r="E16" s="47" t="s">
        <v>11</v>
      </c>
      <c r="F16" s="47" t="s">
        <v>20</v>
      </c>
      <c r="G16" s="47" t="s">
        <v>21</v>
      </c>
      <c r="H16" s="47">
        <v>450</v>
      </c>
    </row>
    <row r="17" spans="1:8">
      <c r="A17" s="47" t="s">
        <v>8</v>
      </c>
      <c r="B17" s="47">
        <v>16</v>
      </c>
      <c r="C17" s="47" t="s">
        <v>54</v>
      </c>
      <c r="D17" s="47" t="s">
        <v>55</v>
      </c>
      <c r="E17" s="47" t="s">
        <v>11</v>
      </c>
      <c r="F17" s="47" t="s">
        <v>56</v>
      </c>
      <c r="G17" s="47" t="s">
        <v>55</v>
      </c>
      <c r="H17" s="47">
        <v>200</v>
      </c>
    </row>
    <row r="18" spans="1:8">
      <c r="A18" s="47" t="s">
        <v>8</v>
      </c>
      <c r="B18" s="47">
        <v>17</v>
      </c>
      <c r="C18" s="47" t="s">
        <v>57</v>
      </c>
      <c r="D18" s="47" t="s">
        <v>55</v>
      </c>
      <c r="E18" s="47" t="s">
        <v>11</v>
      </c>
      <c r="F18" s="47" t="s">
        <v>56</v>
      </c>
      <c r="G18" s="47" t="s">
        <v>55</v>
      </c>
      <c r="H18" s="47">
        <v>200</v>
      </c>
    </row>
    <row r="19" spans="1:8">
      <c r="A19" s="47" t="s">
        <v>8</v>
      </c>
      <c r="B19" s="47">
        <v>18</v>
      </c>
      <c r="C19" s="47" t="s">
        <v>58</v>
      </c>
      <c r="D19" s="47" t="s">
        <v>10</v>
      </c>
      <c r="E19" s="47" t="s">
        <v>15</v>
      </c>
      <c r="F19" s="47" t="s">
        <v>59</v>
      </c>
      <c r="G19" s="47" t="s">
        <v>37</v>
      </c>
      <c r="H19" s="47">
        <v>60</v>
      </c>
    </row>
    <row r="20" spans="1:8">
      <c r="A20" s="47" t="s">
        <v>8</v>
      </c>
      <c r="B20" s="47">
        <v>19</v>
      </c>
      <c r="C20" s="47" t="s">
        <v>60</v>
      </c>
      <c r="D20" s="47" t="s">
        <v>10</v>
      </c>
      <c r="E20" s="47" t="s">
        <v>15</v>
      </c>
      <c r="F20" s="47" t="s">
        <v>56</v>
      </c>
      <c r="G20" s="47" t="s">
        <v>55</v>
      </c>
      <c r="H20" s="47">
        <v>200</v>
      </c>
    </row>
    <row r="21" spans="1:8">
      <c r="A21" s="47" t="s">
        <v>8</v>
      </c>
      <c r="B21" s="47">
        <v>20</v>
      </c>
      <c r="C21" s="47" t="s">
        <v>61</v>
      </c>
      <c r="D21" s="47" t="s">
        <v>10</v>
      </c>
      <c r="E21" s="47" t="s">
        <v>15</v>
      </c>
      <c r="F21" s="47" t="s">
        <v>56</v>
      </c>
      <c r="G21" s="47" t="s">
        <v>55</v>
      </c>
      <c r="H21" s="47">
        <v>60</v>
      </c>
    </row>
    <row r="22" spans="1:8">
      <c r="A22" s="47" t="s">
        <v>8</v>
      </c>
      <c r="B22" s="47">
        <v>21</v>
      </c>
      <c r="C22" s="47" t="s">
        <v>62</v>
      </c>
      <c r="D22" s="47" t="s">
        <v>42</v>
      </c>
      <c r="E22" s="47" t="s">
        <v>15</v>
      </c>
      <c r="F22" s="47" t="s">
        <v>63</v>
      </c>
      <c r="G22" s="47" t="s">
        <v>64</v>
      </c>
      <c r="H22" s="47">
        <v>120</v>
      </c>
    </row>
    <row r="23" spans="1:8">
      <c r="A23" s="47" t="s">
        <v>8</v>
      </c>
      <c r="B23" s="47">
        <v>22</v>
      </c>
      <c r="C23" s="47" t="s">
        <v>65</v>
      </c>
      <c r="D23" s="47" t="s">
        <v>10</v>
      </c>
      <c r="E23" s="47" t="s">
        <v>15</v>
      </c>
      <c r="F23" s="47" t="s">
        <v>36</v>
      </c>
      <c r="G23" s="47" t="s">
        <v>37</v>
      </c>
      <c r="H23" s="47">
        <v>390</v>
      </c>
    </row>
    <row r="24" spans="1:8">
      <c r="A24" s="47" t="s">
        <v>8</v>
      </c>
      <c r="B24" s="47">
        <v>23</v>
      </c>
      <c r="C24" s="47" t="s">
        <v>66</v>
      </c>
      <c r="D24" s="47" t="s">
        <v>10</v>
      </c>
      <c r="E24" s="47" t="s">
        <v>15</v>
      </c>
      <c r="F24" s="47" t="s">
        <v>67</v>
      </c>
      <c r="G24" s="47" t="s">
        <v>68</v>
      </c>
      <c r="H24" s="47">
        <v>390</v>
      </c>
    </row>
    <row r="25" spans="1:8">
      <c r="A25" s="47" t="s">
        <v>8</v>
      </c>
      <c r="B25" s="47">
        <v>24</v>
      </c>
      <c r="C25" s="47" t="s">
        <v>69</v>
      </c>
      <c r="D25" s="47" t="s">
        <v>10</v>
      </c>
      <c r="E25" s="47" t="s">
        <v>15</v>
      </c>
      <c r="F25" s="47" t="s">
        <v>70</v>
      </c>
      <c r="G25" s="47" t="s">
        <v>37</v>
      </c>
      <c r="H25" s="47">
        <v>310</v>
      </c>
    </row>
    <row r="26" spans="1:8">
      <c r="A26" s="47" t="s">
        <v>8</v>
      </c>
      <c r="B26" s="47">
        <v>25</v>
      </c>
      <c r="C26" s="47" t="s">
        <v>71</v>
      </c>
      <c r="D26" s="47" t="s">
        <v>19</v>
      </c>
      <c r="E26" s="47" t="s">
        <v>15</v>
      </c>
      <c r="F26" s="47" t="s">
        <v>72</v>
      </c>
      <c r="G26" s="47" t="s">
        <v>73</v>
      </c>
      <c r="H26" s="47">
        <v>480</v>
      </c>
    </row>
    <row r="27" spans="1:8">
      <c r="A27" s="47" t="s">
        <v>8</v>
      </c>
      <c r="B27" s="47">
        <v>26</v>
      </c>
      <c r="C27" s="47" t="s">
        <v>74</v>
      </c>
      <c r="D27" s="47" t="s">
        <v>10</v>
      </c>
      <c r="E27" s="47" t="s">
        <v>15</v>
      </c>
      <c r="F27" s="47" t="s">
        <v>75</v>
      </c>
      <c r="G27" s="47" t="s">
        <v>76</v>
      </c>
      <c r="H27" s="47">
        <v>580</v>
      </c>
    </row>
    <row r="28" spans="1:8">
      <c r="A28" s="47" t="s">
        <v>8</v>
      </c>
      <c r="B28" s="47">
        <v>27</v>
      </c>
      <c r="C28" s="47" t="s">
        <v>77</v>
      </c>
      <c r="D28" s="47" t="s">
        <v>10</v>
      </c>
      <c r="E28" s="47" t="s">
        <v>11</v>
      </c>
      <c r="F28" s="47" t="s">
        <v>78</v>
      </c>
      <c r="G28" s="47" t="s">
        <v>79</v>
      </c>
      <c r="H28" s="47">
        <v>300</v>
      </c>
    </row>
    <row r="29" spans="1:8">
      <c r="A29" s="47" t="s">
        <v>8</v>
      </c>
      <c r="B29" s="47">
        <v>28</v>
      </c>
      <c r="C29" s="47" t="s">
        <v>80</v>
      </c>
      <c r="D29" s="47" t="s">
        <v>10</v>
      </c>
      <c r="E29" s="47" t="s">
        <v>15</v>
      </c>
      <c r="F29" s="47" t="s">
        <v>67</v>
      </c>
      <c r="G29" s="47" t="s">
        <v>68</v>
      </c>
      <c r="H29" s="47">
        <v>200</v>
      </c>
    </row>
    <row r="30" spans="1:8">
      <c r="A30" s="47" t="s">
        <v>8</v>
      </c>
      <c r="B30" s="47">
        <v>29</v>
      </c>
      <c r="C30" s="47" t="s">
        <v>81</v>
      </c>
      <c r="D30" s="47" t="s">
        <v>42</v>
      </c>
      <c r="E30" s="47" t="s">
        <v>15</v>
      </c>
      <c r="F30" s="47" t="s">
        <v>63</v>
      </c>
      <c r="G30" s="47" t="s">
        <v>64</v>
      </c>
      <c r="H30" s="47">
        <v>220</v>
      </c>
    </row>
    <row r="31" spans="1:8">
      <c r="A31" s="47" t="s">
        <v>8</v>
      </c>
      <c r="B31" s="47">
        <v>30</v>
      </c>
      <c r="C31" s="47" t="s">
        <v>82</v>
      </c>
      <c r="D31" s="47" t="s">
        <v>19</v>
      </c>
      <c r="E31" s="47" t="s">
        <v>15</v>
      </c>
      <c r="F31" s="47" t="s">
        <v>83</v>
      </c>
      <c r="G31" s="47" t="s">
        <v>84</v>
      </c>
      <c r="H31" s="47">
        <v>2950</v>
      </c>
    </row>
    <row r="32" spans="1:8">
      <c r="A32" s="47" t="s">
        <v>8</v>
      </c>
      <c r="B32" s="47">
        <v>31</v>
      </c>
      <c r="C32" s="47" t="s">
        <v>85</v>
      </c>
      <c r="D32" s="47" t="s">
        <v>10</v>
      </c>
      <c r="E32" s="47" t="s">
        <v>11</v>
      </c>
      <c r="F32" s="47" t="s">
        <v>36</v>
      </c>
      <c r="G32" s="47" t="s">
        <v>37</v>
      </c>
      <c r="H32" s="47">
        <v>390</v>
      </c>
    </row>
    <row r="33" spans="1:8">
      <c r="A33" s="47" t="s">
        <v>8</v>
      </c>
      <c r="B33" s="47">
        <v>32</v>
      </c>
      <c r="C33" s="47" t="s">
        <v>86</v>
      </c>
      <c r="D33" s="47" t="s">
        <v>10</v>
      </c>
      <c r="E33" s="47" t="s">
        <v>15</v>
      </c>
      <c r="F33" s="47" t="s">
        <v>87</v>
      </c>
      <c r="G33" s="47" t="s">
        <v>88</v>
      </c>
      <c r="H33" s="47">
        <v>480</v>
      </c>
    </row>
    <row r="34" spans="1:8">
      <c r="A34" s="47" t="s">
        <v>8</v>
      </c>
      <c r="B34" s="47">
        <v>33</v>
      </c>
      <c r="C34" s="47" t="s">
        <v>89</v>
      </c>
      <c r="D34" s="47" t="s">
        <v>19</v>
      </c>
      <c r="E34" s="47" t="s">
        <v>11</v>
      </c>
      <c r="F34" s="47" t="s">
        <v>90</v>
      </c>
      <c r="G34" s="47" t="s">
        <v>91</v>
      </c>
      <c r="H34" s="47">
        <v>1650</v>
      </c>
    </row>
    <row r="35" spans="1:8">
      <c r="A35" s="47" t="s">
        <v>8</v>
      </c>
      <c r="B35" s="47">
        <v>34</v>
      </c>
      <c r="C35" s="47" t="s">
        <v>92</v>
      </c>
      <c r="D35" s="47" t="s">
        <v>10</v>
      </c>
      <c r="E35" s="47" t="s">
        <v>15</v>
      </c>
      <c r="F35" s="47" t="s">
        <v>93</v>
      </c>
      <c r="G35" s="47" t="s">
        <v>94</v>
      </c>
      <c r="H35" s="47">
        <v>420</v>
      </c>
    </row>
    <row r="36" spans="1:8">
      <c r="B36" s="47"/>
    </row>
  </sheetData>
  <autoFilter xmlns:etc="http://www.wps.cn/officeDocument/2017/etCustomData" ref="A1:K35" etc:filterBottomFollowUsedRange="0">
    <extLst/>
  </autoFilter>
  <dataValidations count="2">
    <dataValidation type="list" allowBlank="1" showErrorMessage="1" sqref="D1:D13 D15:D16 D19:D35" errorStyle="information">
      <formula1>"设备,模具,工装,手工"</formula1>
    </dataValidation>
    <dataValidation type="list" sqref="E1:E35">
      <formula1>"关键工序,辅助工序"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25" sqref="A25:F25"/>
    </sheetView>
  </sheetViews>
  <sheetFormatPr defaultColWidth="9" defaultRowHeight="14.4"/>
  <cols>
    <col min="1" max="5" width="15.6296296296296" style="30" customWidth="1"/>
    <col min="6" max="6" width="40.6296296296296" style="30" customWidth="1"/>
    <col min="7" max="16384" width="9" style="30"/>
  </cols>
  <sheetData>
    <row r="1" s="30" customFormat="1" ht="35" customHeight="1" spans="1:13">
      <c r="A1" s="31" t="s">
        <v>95</v>
      </c>
      <c r="B1" s="32"/>
      <c r="C1" s="32"/>
      <c r="D1" s="32"/>
      <c r="E1" s="32"/>
      <c r="F1" s="33"/>
      <c r="H1" s="34"/>
    </row>
    <row r="2" s="30" customFormat="1" ht="35" customHeight="1" spans="1:13">
      <c r="A2" s="35" t="s">
        <v>2</v>
      </c>
      <c r="B2" s="36" t="s">
        <v>96</v>
      </c>
      <c r="C2" s="36" t="s">
        <v>97</v>
      </c>
      <c r="D2" s="36" t="s">
        <v>98</v>
      </c>
      <c r="E2" s="37" t="s">
        <v>99</v>
      </c>
      <c r="F2" s="38" t="s">
        <v>100</v>
      </c>
    </row>
    <row r="3" s="30" customFormat="1" ht="66" customHeight="1" spans="1:13">
      <c r="A3" s="39" t="s">
        <v>101</v>
      </c>
      <c r="B3" s="39" t="s">
        <v>17</v>
      </c>
      <c r="C3" s="39">
        <v>3</v>
      </c>
      <c r="D3" s="39">
        <v>300</v>
      </c>
      <c r="E3" s="39">
        <v>2</v>
      </c>
      <c r="F3" s="40" t="s">
        <v>102</v>
      </c>
    </row>
    <row r="4" s="30" customFormat="1" ht="35" customHeight="1" spans="1:13">
      <c r="A4" s="39" t="s">
        <v>103</v>
      </c>
      <c r="B4" s="39" t="s">
        <v>104</v>
      </c>
      <c r="C4" s="39">
        <v>1</v>
      </c>
      <c r="D4" s="40" t="s">
        <v>105</v>
      </c>
      <c r="E4" s="39">
        <v>1</v>
      </c>
      <c r="F4" s="39"/>
    </row>
    <row r="5" s="30" customFormat="1" ht="35" customHeight="1" spans="1:13">
      <c r="A5" s="39" t="s">
        <v>106</v>
      </c>
      <c r="B5" s="39" t="s">
        <v>24</v>
      </c>
      <c r="C5" s="39">
        <v>2</v>
      </c>
      <c r="D5" s="41">
        <v>550</v>
      </c>
      <c r="E5" s="41">
        <v>1</v>
      </c>
      <c r="F5" s="39"/>
    </row>
    <row r="6" s="30" customFormat="1" ht="35" customHeight="1" spans="1:13">
      <c r="A6" s="39" t="s">
        <v>38</v>
      </c>
      <c r="B6" s="39" t="s">
        <v>107</v>
      </c>
      <c r="C6" s="39">
        <v>1</v>
      </c>
      <c r="D6" s="42"/>
      <c r="E6" s="42"/>
      <c r="F6" s="39"/>
    </row>
    <row r="7" s="30" customFormat="1" ht="35" customHeight="1" spans="1:13">
      <c r="A7" s="39" t="s">
        <v>108</v>
      </c>
      <c r="B7" s="39" t="s">
        <v>37</v>
      </c>
      <c r="C7" s="39">
        <v>1</v>
      </c>
      <c r="D7" s="39">
        <v>550</v>
      </c>
      <c r="E7" s="39">
        <v>1</v>
      </c>
      <c r="F7" s="39"/>
    </row>
    <row r="8" s="30" customFormat="1" ht="35" customHeight="1" spans="1:13">
      <c r="A8" s="39" t="s">
        <v>109</v>
      </c>
      <c r="B8" s="41" t="s">
        <v>37</v>
      </c>
      <c r="C8" s="41">
        <v>2</v>
      </c>
      <c r="D8" s="41">
        <v>450</v>
      </c>
      <c r="E8" s="41">
        <v>4</v>
      </c>
      <c r="F8" s="39"/>
    </row>
    <row r="9" s="30" customFormat="1" ht="35" customHeight="1" spans="1:13">
      <c r="A9" s="39" t="s">
        <v>65</v>
      </c>
      <c r="B9" s="43"/>
      <c r="C9" s="43"/>
      <c r="D9" s="43"/>
      <c r="E9" s="43"/>
      <c r="F9" s="39"/>
    </row>
    <row r="10" s="30" customFormat="1" ht="35" customHeight="1" spans="1:13">
      <c r="A10" s="39" t="s">
        <v>66</v>
      </c>
      <c r="B10" s="43"/>
      <c r="C10" s="43"/>
      <c r="D10" s="43"/>
      <c r="E10" s="43"/>
      <c r="F10" s="39"/>
    </row>
    <row r="11" s="30" customFormat="1" ht="35" customHeight="1" spans="1:13">
      <c r="A11" s="39" t="s">
        <v>85</v>
      </c>
      <c r="B11" s="42"/>
      <c r="C11" s="42"/>
      <c r="D11" s="42"/>
      <c r="E11" s="42"/>
      <c r="F11" s="39"/>
    </row>
    <row r="12" s="30" customFormat="1" ht="35" customHeight="1" spans="1:13">
      <c r="A12" s="39" t="s">
        <v>41</v>
      </c>
      <c r="B12" s="39" t="s">
        <v>42</v>
      </c>
      <c r="C12" s="39" t="s">
        <v>34</v>
      </c>
      <c r="D12" s="39">
        <v>600</v>
      </c>
      <c r="E12" s="39">
        <v>1</v>
      </c>
      <c r="F12" s="39"/>
    </row>
    <row r="13" s="30" customFormat="1" ht="35" customHeight="1" spans="1:13">
      <c r="A13" s="39" t="s">
        <v>43</v>
      </c>
      <c r="B13" s="39" t="s">
        <v>45</v>
      </c>
      <c r="C13" s="39">
        <v>1</v>
      </c>
      <c r="D13" s="39">
        <v>540</v>
      </c>
      <c r="E13" s="39">
        <v>1</v>
      </c>
      <c r="F13" s="39"/>
    </row>
    <row r="14" s="30" customFormat="1" ht="35" customHeight="1" spans="1:13">
      <c r="A14" s="39" t="s">
        <v>69</v>
      </c>
      <c r="B14" s="39" t="s">
        <v>37</v>
      </c>
      <c r="C14" s="39">
        <v>1</v>
      </c>
      <c r="D14" s="39">
        <v>290</v>
      </c>
      <c r="E14" s="39">
        <v>1</v>
      </c>
      <c r="F14" s="39" t="s">
        <v>110</v>
      </c>
    </row>
    <row r="15" s="30" customFormat="1" ht="35" customHeight="1" spans="1:13">
      <c r="A15" s="39" t="s">
        <v>71</v>
      </c>
      <c r="B15" s="39" t="s">
        <v>111</v>
      </c>
      <c r="C15" s="39">
        <v>1</v>
      </c>
      <c r="D15" s="39">
        <v>500</v>
      </c>
      <c r="E15" s="39">
        <v>1</v>
      </c>
      <c r="F15" s="39"/>
      <c r="M15" s="34"/>
    </row>
    <row r="16" s="30" customFormat="1" ht="35" customHeight="1" spans="1:13">
      <c r="A16" s="39" t="s">
        <v>74</v>
      </c>
      <c r="B16" s="39" t="s">
        <v>64</v>
      </c>
      <c r="C16" s="39">
        <v>1</v>
      </c>
      <c r="D16" s="39">
        <v>550</v>
      </c>
      <c r="E16" s="39">
        <v>1</v>
      </c>
      <c r="F16" s="39"/>
    </row>
    <row r="17" s="30" customFormat="1" ht="35" customHeight="1" spans="1:6">
      <c r="A17" s="39" t="s">
        <v>112</v>
      </c>
      <c r="B17" s="39" t="s">
        <v>88</v>
      </c>
      <c r="C17" s="39">
        <v>1</v>
      </c>
      <c r="D17" s="39">
        <v>500</v>
      </c>
      <c r="E17" s="39">
        <v>1</v>
      </c>
      <c r="F17" s="39"/>
    </row>
    <row r="18" s="30" customFormat="1" ht="35" customHeight="1" spans="1:6">
      <c r="A18" s="40" t="s">
        <v>113</v>
      </c>
      <c r="B18" s="39" t="s">
        <v>55</v>
      </c>
      <c r="C18" s="39">
        <v>2</v>
      </c>
      <c r="D18" s="39" t="s">
        <v>114</v>
      </c>
      <c r="E18" s="39">
        <v>1</v>
      </c>
      <c r="F18" s="39"/>
    </row>
    <row r="19" s="30" customFormat="1" ht="35" customHeight="1" spans="1:6">
      <c r="A19" s="39" t="s">
        <v>77</v>
      </c>
      <c r="B19" s="39" t="s">
        <v>115</v>
      </c>
      <c r="C19" s="39">
        <v>1</v>
      </c>
      <c r="D19" s="39">
        <v>290</v>
      </c>
      <c r="E19" s="39">
        <v>1</v>
      </c>
      <c r="F19" s="39"/>
    </row>
    <row r="20" s="30" customFormat="1" ht="35" customHeight="1" spans="1:6">
      <c r="A20" s="39" t="s">
        <v>116</v>
      </c>
      <c r="B20" s="39" t="s">
        <v>117</v>
      </c>
      <c r="C20" s="39">
        <v>1</v>
      </c>
      <c r="D20" s="39">
        <v>410</v>
      </c>
      <c r="E20" s="39">
        <v>1</v>
      </c>
      <c r="F20" s="39" t="s">
        <v>118</v>
      </c>
    </row>
    <row r="21" s="30" customFormat="1" ht="35" customHeight="1" spans="1:6">
      <c r="A21" s="39" t="s">
        <v>119</v>
      </c>
      <c r="B21" s="39" t="s">
        <v>24</v>
      </c>
      <c r="C21" s="39">
        <v>2</v>
      </c>
      <c r="D21" s="41">
        <v>500</v>
      </c>
      <c r="E21" s="41">
        <v>1</v>
      </c>
      <c r="F21" s="39"/>
    </row>
    <row r="22" s="30" customFormat="1" ht="35" customHeight="1" spans="1:6">
      <c r="A22" s="39" t="s">
        <v>120</v>
      </c>
      <c r="B22" s="39" t="s">
        <v>121</v>
      </c>
      <c r="C22" s="39">
        <v>1</v>
      </c>
      <c r="D22" s="43"/>
      <c r="E22" s="43"/>
      <c r="F22" s="39"/>
    </row>
    <row r="23" s="30" customFormat="1" ht="35" customHeight="1" spans="1:6">
      <c r="A23" s="39" t="s">
        <v>122</v>
      </c>
      <c r="B23" s="39" t="s">
        <v>34</v>
      </c>
      <c r="C23" s="39" t="s">
        <v>34</v>
      </c>
      <c r="D23" s="43"/>
      <c r="E23" s="43"/>
      <c r="F23" s="39"/>
    </row>
    <row r="24" s="30" customFormat="1" ht="35" customHeight="1" spans="1:6">
      <c r="A24" s="39" t="s">
        <v>123</v>
      </c>
      <c r="B24" s="39" t="s">
        <v>124</v>
      </c>
      <c r="C24" s="39">
        <v>1</v>
      </c>
      <c r="D24" s="42"/>
      <c r="E24" s="42"/>
      <c r="F24" s="39"/>
    </row>
    <row r="25" s="30" customFormat="1" ht="77" customHeight="1" spans="1:6">
      <c r="A25" s="40" t="s">
        <v>125</v>
      </c>
      <c r="B25" s="39"/>
      <c r="C25" s="39"/>
      <c r="D25" s="39"/>
      <c r="E25" s="39"/>
      <c r="F25" s="39"/>
    </row>
    <row r="26" s="30" customFormat="1" ht="35" customHeight="1" spans="1:6">
      <c r="A26" s="44"/>
      <c r="B26" s="44"/>
      <c r="C26" s="44"/>
      <c r="D26" s="44"/>
      <c r="E26" s="44"/>
      <c r="F26" s="44"/>
    </row>
    <row r="27" s="30" customFormat="1" ht="35" customHeight="1" spans="1:6">
      <c r="A27" s="44"/>
      <c r="B27" s="44"/>
      <c r="C27" s="44"/>
      <c r="D27" s="44"/>
      <c r="E27" s="44"/>
      <c r="F27" s="44"/>
    </row>
    <row r="28" s="30" customFormat="1" ht="35" customHeight="1" spans="1:6">
      <c r="A28" s="44"/>
      <c r="B28" s="44"/>
      <c r="C28" s="44"/>
      <c r="D28" s="44"/>
      <c r="E28" s="44"/>
      <c r="F28" s="44"/>
    </row>
    <row r="29" s="30" customFormat="1" ht="35" customHeight="1" spans="1:6">
      <c r="A29" s="44"/>
      <c r="B29" s="44"/>
      <c r="C29" s="44"/>
      <c r="D29" s="44"/>
      <c r="E29" s="44"/>
      <c r="F29" s="44"/>
    </row>
    <row r="30" s="30" customFormat="1" ht="35" customHeight="1" spans="1:6">
      <c r="A30" s="44"/>
      <c r="B30" s="44"/>
      <c r="C30" s="44"/>
      <c r="D30" s="44"/>
      <c r="E30" s="44"/>
      <c r="F30" s="44"/>
    </row>
    <row r="31" s="30" customFormat="1" ht="35" customHeight="1" spans="1:6">
      <c r="A31" s="44"/>
      <c r="B31" s="44"/>
      <c r="C31" s="44"/>
      <c r="D31" s="44"/>
      <c r="E31" s="44"/>
      <c r="F31" s="44"/>
    </row>
    <row r="32" s="30" customFormat="1" ht="35" customHeight="1" spans="1:6">
      <c r="A32" s="44"/>
      <c r="B32" s="44"/>
      <c r="C32" s="44"/>
      <c r="D32" s="44"/>
      <c r="E32" s="44"/>
      <c r="F32" s="44"/>
    </row>
  </sheetData>
  <autoFilter xmlns:etc="http://www.wps.cn/officeDocument/2017/etCustomData" ref="A2:M25" etc:filterBottomFollowUsedRange="0">
    <extLst/>
  </autoFilter>
  <mergeCells count="10">
    <mergeCell ref="A1:F1"/>
    <mergeCell ref="A25:F25"/>
    <mergeCell ref="B8:B11"/>
    <mergeCell ref="C8:C11"/>
    <mergeCell ref="D5:D6"/>
    <mergeCell ref="D8:D11"/>
    <mergeCell ref="D21:D24"/>
    <mergeCell ref="E5:E6"/>
    <mergeCell ref="E8:E11"/>
    <mergeCell ref="E21:E2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36"/>
  <sheetViews>
    <sheetView tabSelected="1" workbookViewId="0">
      <selection activeCell="E21" sqref="E21"/>
    </sheetView>
  </sheetViews>
  <sheetFormatPr defaultColWidth="9" defaultRowHeight="14.4"/>
  <cols>
    <col min="1" max="1" width="19.5" style="2" customWidth="1"/>
    <col min="2" max="2" width="24" style="2" customWidth="1"/>
    <col min="3" max="3" width="10.3333333333333" style="2" customWidth="1"/>
    <col min="4" max="4" width="24" style="3" customWidth="1"/>
    <col min="5" max="5" width="13.8888888888889" style="3" customWidth="1"/>
    <col min="6" max="8" width="9" style="2"/>
    <col min="9" max="10" width="9" style="2" hidden="1" customWidth="1"/>
    <col min="11" max="11" width="12.8888888888889" style="2" hidden="1" customWidth="1"/>
    <col min="12" max="13" width="9" style="2"/>
    <col min="14" max="15" width="12.8888888888889" style="2"/>
    <col min="16" max="16" width="14.1111111111111" style="4" customWidth="1"/>
    <col min="17" max="17" width="12.8888888888889" style="2"/>
    <col min="18" max="16384" width="9" style="2"/>
  </cols>
  <sheetData>
    <row r="1" spans="1:17">
      <c r="A1" s="5"/>
      <c r="B1" s="5" t="s">
        <v>126</v>
      </c>
      <c r="C1" s="5" t="s">
        <v>10</v>
      </c>
      <c r="D1" s="6" t="s">
        <v>127</v>
      </c>
      <c r="E1" s="6" t="s">
        <v>128</v>
      </c>
      <c r="F1" s="7" t="s">
        <v>129</v>
      </c>
      <c r="G1" s="8" t="s">
        <v>130</v>
      </c>
      <c r="H1" s="9"/>
      <c r="L1" s="2" t="s">
        <v>131</v>
      </c>
      <c r="M1" s="2" t="s">
        <v>131</v>
      </c>
      <c r="N1" s="2" t="s">
        <v>132</v>
      </c>
      <c r="O1" s="2" t="s">
        <v>132</v>
      </c>
      <c r="P1" s="4" t="s">
        <v>133</v>
      </c>
    </row>
    <row r="2" spans="1:17">
      <c r="A2" s="5" t="s">
        <v>8</v>
      </c>
      <c r="B2" s="5" t="s">
        <v>14</v>
      </c>
      <c r="C2" s="6">
        <v>5</v>
      </c>
      <c r="D2" s="10">
        <v>100</v>
      </c>
      <c r="E2" s="6">
        <v>290</v>
      </c>
      <c r="F2" s="7">
        <v>500</v>
      </c>
      <c r="G2" s="8">
        <v>1.7</v>
      </c>
      <c r="H2" s="11"/>
      <c r="J2" s="2">
        <f>D2*C2</f>
        <v>500</v>
      </c>
      <c r="L2" s="4">
        <v>2</v>
      </c>
      <c r="M2" s="4">
        <v>8</v>
      </c>
      <c r="N2" s="2">
        <f>700/E2</f>
        <v>2.41379310344828</v>
      </c>
      <c r="O2" s="2">
        <f>1300/E2</f>
        <v>4.48275862068965</v>
      </c>
      <c r="P2" s="12">
        <v>5</v>
      </c>
    </row>
    <row r="3" spans="1:17">
      <c r="A3" s="5" t="s">
        <v>8</v>
      </c>
      <c r="B3" s="5" t="s">
        <v>18</v>
      </c>
      <c r="C3" s="5" t="s">
        <v>42</v>
      </c>
      <c r="D3" s="6"/>
      <c r="E3" s="6">
        <v>300</v>
      </c>
      <c r="F3" s="7">
        <v>300</v>
      </c>
      <c r="G3" s="8">
        <v>1</v>
      </c>
      <c r="H3" s="13"/>
      <c r="J3" s="2" t="e">
        <f t="shared" ref="J3:J34" si="0">D3*C3</f>
        <v>#VALUE!</v>
      </c>
      <c r="N3" s="2">
        <f t="shared" ref="N3:N10" si="1">700/E3</f>
        <v>2.33333333333333</v>
      </c>
      <c r="O3" s="2">
        <f t="shared" ref="O3:O10" si="2">1300/E3</f>
        <v>4.33333333333333</v>
      </c>
    </row>
    <row r="4" spans="1:17">
      <c r="A4" s="5" t="s">
        <v>8</v>
      </c>
      <c r="B4" s="5" t="s">
        <v>22</v>
      </c>
      <c r="C4" s="5" t="s">
        <v>42</v>
      </c>
      <c r="D4" s="6"/>
      <c r="E4" s="6">
        <v>1550</v>
      </c>
      <c r="F4" s="7">
        <v>1550</v>
      </c>
      <c r="G4" s="7">
        <v>1</v>
      </c>
      <c r="H4" s="13"/>
      <c r="J4" s="2" t="e">
        <f t="shared" si="0"/>
        <v>#VALUE!</v>
      </c>
      <c r="N4" s="2">
        <f t="shared" si="1"/>
        <v>0.451612903225806</v>
      </c>
      <c r="O4" s="2">
        <f t="shared" si="2"/>
        <v>0.838709677419355</v>
      </c>
    </row>
    <row r="5" spans="1:17">
      <c r="A5" s="5" t="s">
        <v>8</v>
      </c>
      <c r="B5" s="5" t="s">
        <v>25</v>
      </c>
      <c r="C5" s="14">
        <v>1</v>
      </c>
      <c r="D5" s="6">
        <f>F5*3</f>
        <v>1950</v>
      </c>
      <c r="E5" s="6">
        <f>D5*2</f>
        <v>3900</v>
      </c>
      <c r="F5" s="7">
        <v>650</v>
      </c>
      <c r="G5" s="7">
        <v>1</v>
      </c>
      <c r="H5" s="13"/>
      <c r="J5" s="2">
        <f t="shared" si="0"/>
        <v>1950</v>
      </c>
      <c r="K5" s="2">
        <f>700/D5</f>
        <v>0.358974358974359</v>
      </c>
      <c r="L5" s="4"/>
      <c r="M5" s="4"/>
      <c r="N5" s="2">
        <f t="shared" si="1"/>
        <v>0.179487179487179</v>
      </c>
      <c r="O5" s="2">
        <f t="shared" si="2"/>
        <v>0.333333333333333</v>
      </c>
      <c r="P5" s="4">
        <v>2</v>
      </c>
    </row>
    <row r="6" spans="1:17">
      <c r="A6" s="5" t="s">
        <v>8</v>
      </c>
      <c r="B6" s="5" t="s">
        <v>29</v>
      </c>
      <c r="C6" s="15"/>
      <c r="D6" s="6">
        <f>F6*4</f>
        <v>3360</v>
      </c>
      <c r="E6" s="6">
        <f>D6*2</f>
        <v>6720</v>
      </c>
      <c r="F6" s="7">
        <v>840</v>
      </c>
      <c r="G6" s="7">
        <v>1</v>
      </c>
      <c r="H6" s="13"/>
      <c r="J6" s="2">
        <f t="shared" si="0"/>
        <v>0</v>
      </c>
      <c r="K6" s="2">
        <f>700/D6</f>
        <v>0.208333333333333</v>
      </c>
      <c r="L6" s="4"/>
      <c r="M6" s="4"/>
      <c r="N6" s="2">
        <f t="shared" si="1"/>
        <v>0.104166666666667</v>
      </c>
      <c r="O6" s="2">
        <f t="shared" si="2"/>
        <v>0.193452380952381</v>
      </c>
      <c r="P6" s="4">
        <v>2</v>
      </c>
    </row>
    <row r="7" spans="1:17">
      <c r="A7" s="5" t="s">
        <v>8</v>
      </c>
      <c r="B7" s="5" t="s">
        <v>31</v>
      </c>
      <c r="C7" s="5" t="s">
        <v>42</v>
      </c>
      <c r="D7" s="6"/>
      <c r="E7" s="6" t="s">
        <v>134</v>
      </c>
      <c r="F7" s="7" t="s">
        <v>34</v>
      </c>
      <c r="G7" s="7"/>
      <c r="H7" s="16"/>
      <c r="J7" s="2" t="e">
        <f t="shared" si="0"/>
        <v>#VALUE!</v>
      </c>
    </row>
    <row r="8" spans="1:17">
      <c r="A8" s="5" t="s">
        <v>8</v>
      </c>
      <c r="B8" s="5" t="s">
        <v>35</v>
      </c>
      <c r="C8" s="17">
        <v>3</v>
      </c>
      <c r="D8" s="10">
        <v>580</v>
      </c>
      <c r="E8" s="6">
        <v>580</v>
      </c>
      <c r="F8" s="7">
        <v>585</v>
      </c>
      <c r="G8" s="7">
        <v>1</v>
      </c>
      <c r="H8" s="18" t="s">
        <v>135</v>
      </c>
      <c r="J8" s="2">
        <f t="shared" si="0"/>
        <v>1740</v>
      </c>
      <c r="K8" s="2">
        <f>700/D8</f>
        <v>1.20689655172414</v>
      </c>
      <c r="L8" s="4">
        <v>1</v>
      </c>
      <c r="M8" s="4">
        <v>11</v>
      </c>
      <c r="N8" s="2">
        <f t="shared" si="1"/>
        <v>1.20689655172414</v>
      </c>
      <c r="O8" s="2">
        <f t="shared" si="2"/>
        <v>2.24137931034483</v>
      </c>
      <c r="P8" s="12">
        <v>5</v>
      </c>
      <c r="Q8" s="2">
        <f>1300/D8</f>
        <v>2.24137931034483</v>
      </c>
    </row>
    <row r="9" spans="1:17">
      <c r="A9" s="5" t="s">
        <v>8</v>
      </c>
      <c r="B9" s="5" t="s">
        <v>65</v>
      </c>
      <c r="C9" s="19"/>
      <c r="D9" s="20">
        <v>800</v>
      </c>
      <c r="E9" s="6">
        <v>390</v>
      </c>
      <c r="F9" s="7">
        <v>390</v>
      </c>
      <c r="G9" s="7">
        <v>1</v>
      </c>
      <c r="H9" s="21" t="s">
        <v>135</v>
      </c>
      <c r="J9" s="2">
        <f>D9*3</f>
        <v>2400</v>
      </c>
      <c r="K9" s="2">
        <f>700/D9</f>
        <v>0.875</v>
      </c>
      <c r="L9" s="4"/>
      <c r="M9" s="4"/>
      <c r="N9" s="2">
        <f t="shared" si="1"/>
        <v>1.79487179487179</v>
      </c>
      <c r="O9" s="2">
        <f t="shared" si="2"/>
        <v>3.33333333333333</v>
      </c>
      <c r="P9" s="12">
        <v>5</v>
      </c>
      <c r="Q9" s="2">
        <f>1300/D9</f>
        <v>1.625</v>
      </c>
    </row>
    <row r="10" spans="1:17">
      <c r="A10" s="5" t="s">
        <v>8</v>
      </c>
      <c r="B10" s="5" t="s">
        <v>85</v>
      </c>
      <c r="C10" s="19"/>
      <c r="D10" s="20">
        <v>750</v>
      </c>
      <c r="E10" s="6"/>
      <c r="F10" s="7">
        <v>390</v>
      </c>
      <c r="G10" s="22">
        <v>1</v>
      </c>
      <c r="H10" s="21" t="s">
        <v>135</v>
      </c>
      <c r="J10" s="2">
        <f>D10*3</f>
        <v>2250</v>
      </c>
      <c r="K10" s="2">
        <f>700/D10</f>
        <v>0.933333333333333</v>
      </c>
      <c r="L10" s="4"/>
      <c r="M10" s="4"/>
      <c r="P10" s="12">
        <v>5</v>
      </c>
      <c r="Q10" s="2">
        <f>1300/D10</f>
        <v>1.73333333333333</v>
      </c>
    </row>
    <row r="11" hidden="1" spans="1:17">
      <c r="A11" s="5" t="s">
        <v>8</v>
      </c>
      <c r="B11" s="23" t="s">
        <v>58</v>
      </c>
      <c r="C11" s="19"/>
      <c r="D11" s="20">
        <v>750</v>
      </c>
      <c r="E11" s="6">
        <v>60</v>
      </c>
      <c r="F11" s="7">
        <v>60</v>
      </c>
      <c r="G11" s="24"/>
      <c r="H11" s="25" t="s">
        <v>135</v>
      </c>
      <c r="J11" s="2">
        <f>D11*3</f>
        <v>2250</v>
      </c>
      <c r="K11" s="2">
        <f>200/D11</f>
        <v>0.266666666666667</v>
      </c>
      <c r="L11" s="4"/>
      <c r="M11" s="4"/>
      <c r="N11" s="2">
        <f>200/E11</f>
        <v>3.33333333333333</v>
      </c>
      <c r="O11" s="2">
        <f>850/E11</f>
        <v>14.1666666666667</v>
      </c>
      <c r="P11" s="12">
        <v>5</v>
      </c>
      <c r="Q11" s="2">
        <f>850/D11</f>
        <v>1.13333333333333</v>
      </c>
    </row>
    <row r="12" spans="1:17">
      <c r="A12" s="5" t="s">
        <v>8</v>
      </c>
      <c r="B12" s="5" t="s">
        <v>66</v>
      </c>
      <c r="C12" s="26"/>
      <c r="D12" s="20">
        <v>800</v>
      </c>
      <c r="E12" s="6"/>
      <c r="F12" s="7">
        <v>390</v>
      </c>
      <c r="G12" s="27"/>
      <c r="H12" s="21" t="s">
        <v>135</v>
      </c>
      <c r="J12" s="2">
        <f>D12*3</f>
        <v>2400</v>
      </c>
      <c r="K12" s="2">
        <f>700/D12</f>
        <v>0.875</v>
      </c>
      <c r="L12" s="4"/>
      <c r="M12" s="4"/>
      <c r="P12" s="12">
        <v>5</v>
      </c>
      <c r="Q12" s="2">
        <f>1300/D12</f>
        <v>1.625</v>
      </c>
    </row>
    <row r="13" spans="1:17">
      <c r="A13" s="5" t="s">
        <v>8</v>
      </c>
      <c r="B13" s="5" t="s">
        <v>38</v>
      </c>
      <c r="C13" s="5" t="s">
        <v>42</v>
      </c>
      <c r="D13" s="6"/>
      <c r="E13" s="6">
        <v>1950</v>
      </c>
      <c r="F13" s="7">
        <v>1950</v>
      </c>
      <c r="G13" s="7">
        <v>1</v>
      </c>
      <c r="H13" s="28"/>
      <c r="J13" s="2" t="e">
        <f t="shared" si="0"/>
        <v>#VALUE!</v>
      </c>
      <c r="N13" s="2">
        <f>700/E13</f>
        <v>0.358974358974359</v>
      </c>
      <c r="O13" s="2">
        <f>1300/E13</f>
        <v>0.666666666666667</v>
      </c>
    </row>
    <row r="14" spans="1:17">
      <c r="A14" s="5" t="s">
        <v>8</v>
      </c>
      <c r="B14" s="5" t="s">
        <v>41</v>
      </c>
      <c r="C14" s="5" t="s">
        <v>42</v>
      </c>
      <c r="D14" s="6"/>
      <c r="E14" s="6">
        <v>740</v>
      </c>
      <c r="F14" s="7">
        <v>740</v>
      </c>
      <c r="G14" s="7">
        <v>1</v>
      </c>
      <c r="H14" s="29" t="s">
        <v>42</v>
      </c>
      <c r="J14" s="2" t="e">
        <f t="shared" si="0"/>
        <v>#VALUE!</v>
      </c>
      <c r="N14" s="2">
        <f>700/E14</f>
        <v>0.945945945945946</v>
      </c>
      <c r="O14" s="2">
        <f>1300/E14</f>
        <v>1.75675675675676</v>
      </c>
    </row>
    <row r="15" spans="1:17">
      <c r="A15" s="5" t="s">
        <v>8</v>
      </c>
      <c r="B15" s="5" t="s">
        <v>43</v>
      </c>
      <c r="C15" s="6">
        <v>1</v>
      </c>
      <c r="D15" s="10">
        <v>600</v>
      </c>
      <c r="E15" s="6">
        <v>600</v>
      </c>
      <c r="F15" s="7">
        <v>600</v>
      </c>
      <c r="G15" s="8">
        <v>1</v>
      </c>
      <c r="H15" s="9"/>
      <c r="J15" s="2">
        <f t="shared" si="0"/>
        <v>600</v>
      </c>
      <c r="L15" s="4"/>
      <c r="M15" s="4">
        <v>1</v>
      </c>
      <c r="N15" s="2">
        <f>700/E15</f>
        <v>1.16666666666667</v>
      </c>
      <c r="O15" s="2">
        <f>1300/E15</f>
        <v>2.16666666666667</v>
      </c>
      <c r="P15" s="12">
        <v>3</v>
      </c>
    </row>
    <row r="16" ht="26.4" hidden="1" spans="1:17">
      <c r="A16" s="5" t="s">
        <v>8</v>
      </c>
      <c r="B16" s="23" t="s">
        <v>46</v>
      </c>
      <c r="C16" s="6">
        <v>1</v>
      </c>
      <c r="D16" s="6">
        <v>200</v>
      </c>
      <c r="E16" s="6">
        <v>200</v>
      </c>
      <c r="F16" s="7">
        <v>85</v>
      </c>
      <c r="G16" s="7">
        <v>1</v>
      </c>
      <c r="H16" s="25" t="s">
        <v>136</v>
      </c>
      <c r="I16" s="2" t="s">
        <v>137</v>
      </c>
      <c r="J16" s="2">
        <f t="shared" si="0"/>
        <v>200</v>
      </c>
      <c r="L16" s="4"/>
      <c r="M16" s="4">
        <v>4</v>
      </c>
      <c r="N16" s="2">
        <f>200/E16</f>
        <v>1</v>
      </c>
      <c r="O16" s="2">
        <f>850/E16</f>
        <v>4.25</v>
      </c>
      <c r="P16" s="4">
        <v>2</v>
      </c>
    </row>
    <row r="17" hidden="1" spans="1:16">
      <c r="A17" s="5" t="s">
        <v>8</v>
      </c>
      <c r="B17" s="23" t="s">
        <v>49</v>
      </c>
      <c r="C17" s="5" t="s">
        <v>42</v>
      </c>
      <c r="D17" s="6"/>
      <c r="E17" s="6" t="s">
        <v>134</v>
      </c>
      <c r="F17" s="7">
        <v>210</v>
      </c>
      <c r="G17" s="7">
        <v>1</v>
      </c>
      <c r="H17" s="25"/>
      <c r="J17" s="2" t="e">
        <f t="shared" si="0"/>
        <v>#VALUE!</v>
      </c>
    </row>
    <row r="18" hidden="1" spans="1:16">
      <c r="A18" s="5" t="s">
        <v>8</v>
      </c>
      <c r="B18" s="23" t="s">
        <v>50</v>
      </c>
      <c r="C18" s="6">
        <v>2</v>
      </c>
      <c r="D18" s="6">
        <v>120</v>
      </c>
      <c r="E18" s="6">
        <v>120</v>
      </c>
      <c r="F18" s="7">
        <v>240</v>
      </c>
      <c r="G18" s="7">
        <v>1</v>
      </c>
      <c r="H18" s="25"/>
      <c r="I18" s="2" t="s">
        <v>138</v>
      </c>
      <c r="J18" s="2">
        <f t="shared" si="0"/>
        <v>240</v>
      </c>
      <c r="L18" s="4"/>
      <c r="M18" s="4">
        <v>5</v>
      </c>
      <c r="N18" s="2">
        <f>200/E18</f>
        <v>1.66666666666667</v>
      </c>
      <c r="O18" s="2">
        <f>850/E18</f>
        <v>7.08333333333333</v>
      </c>
      <c r="P18" s="4">
        <v>2</v>
      </c>
    </row>
    <row r="19" hidden="1" spans="1:16">
      <c r="A19" s="5" t="s">
        <v>8</v>
      </c>
      <c r="B19" s="23" t="s">
        <v>53</v>
      </c>
      <c r="C19" s="5" t="s">
        <v>42</v>
      </c>
      <c r="D19" s="6"/>
      <c r="E19" s="6">
        <v>450</v>
      </c>
      <c r="F19" s="7">
        <v>450</v>
      </c>
      <c r="G19" s="8">
        <v>1</v>
      </c>
      <c r="H19" s="25"/>
      <c r="J19" s="2" t="e">
        <f t="shared" si="0"/>
        <v>#VALUE!</v>
      </c>
      <c r="N19" s="2">
        <f>200/E19</f>
        <v>0.444444444444444</v>
      </c>
      <c r="O19" s="2">
        <f>850/E19</f>
        <v>1.88888888888889</v>
      </c>
    </row>
    <row r="20" hidden="1" spans="1:16">
      <c r="A20" s="5" t="s">
        <v>8</v>
      </c>
      <c r="B20" s="23" t="s">
        <v>54</v>
      </c>
      <c r="C20" s="5" t="s">
        <v>42</v>
      </c>
      <c r="D20" s="6"/>
      <c r="E20" s="6">
        <v>200</v>
      </c>
      <c r="F20" s="7">
        <v>200</v>
      </c>
      <c r="G20" s="7">
        <v>1</v>
      </c>
      <c r="H20" s="25"/>
      <c r="J20" s="2" t="e">
        <f t="shared" si="0"/>
        <v>#VALUE!</v>
      </c>
      <c r="N20" s="2">
        <f>200/E20</f>
        <v>1</v>
      </c>
      <c r="O20" s="2">
        <f>850/E20</f>
        <v>4.25</v>
      </c>
    </row>
    <row r="21" spans="1:16">
      <c r="A21" s="5" t="s">
        <v>8</v>
      </c>
      <c r="B21" s="5" t="s">
        <v>57</v>
      </c>
      <c r="C21" s="5" t="s">
        <v>42</v>
      </c>
      <c r="D21" s="6"/>
      <c r="E21" s="6">
        <v>200</v>
      </c>
      <c r="F21" s="7">
        <v>200</v>
      </c>
      <c r="G21" s="7">
        <v>1</v>
      </c>
      <c r="H21" s="21"/>
      <c r="J21" s="2" t="e">
        <f t="shared" si="0"/>
        <v>#VALUE!</v>
      </c>
      <c r="N21" s="2">
        <f>700/E21</f>
        <v>3.5</v>
      </c>
      <c r="O21" s="2">
        <f>1300/E21</f>
        <v>6.5</v>
      </c>
    </row>
    <row r="22" hidden="1" spans="1:16">
      <c r="A22" s="5" t="s">
        <v>8</v>
      </c>
      <c r="B22" s="23" t="s">
        <v>60</v>
      </c>
      <c r="C22" s="5" t="s">
        <v>42</v>
      </c>
      <c r="D22" s="6"/>
      <c r="E22" s="6">
        <v>200</v>
      </c>
      <c r="F22" s="7">
        <v>200</v>
      </c>
      <c r="G22" s="8">
        <v>1</v>
      </c>
      <c r="H22" s="25" t="s">
        <v>139</v>
      </c>
      <c r="J22" s="2" t="e">
        <f t="shared" si="0"/>
        <v>#VALUE!</v>
      </c>
      <c r="N22" s="2">
        <f>200/E22</f>
        <v>1</v>
      </c>
      <c r="O22" s="2">
        <f>850/E22</f>
        <v>4.25</v>
      </c>
    </row>
    <row r="23" hidden="1" spans="1:16">
      <c r="A23" s="5" t="s">
        <v>8</v>
      </c>
      <c r="B23" s="23" t="s">
        <v>61</v>
      </c>
      <c r="C23" s="5" t="s">
        <v>42</v>
      </c>
      <c r="D23" s="6"/>
      <c r="E23" s="6">
        <v>60</v>
      </c>
      <c r="F23" s="7">
        <v>60</v>
      </c>
      <c r="G23" s="7">
        <v>1</v>
      </c>
      <c r="H23" s="25" t="s">
        <v>139</v>
      </c>
      <c r="J23" s="2" t="e">
        <f t="shared" si="0"/>
        <v>#VALUE!</v>
      </c>
      <c r="N23" s="2">
        <f>200/E23</f>
        <v>3.33333333333333</v>
      </c>
      <c r="O23" s="2">
        <f>850/E23</f>
        <v>14.1666666666667</v>
      </c>
    </row>
    <row r="24" hidden="1" spans="1:16">
      <c r="A24" s="5" t="s">
        <v>8</v>
      </c>
      <c r="B24" s="23" t="s">
        <v>62</v>
      </c>
      <c r="C24" s="5" t="s">
        <v>42</v>
      </c>
      <c r="D24" s="6"/>
      <c r="E24" s="6">
        <v>120</v>
      </c>
      <c r="F24" s="7">
        <v>120</v>
      </c>
      <c r="G24" s="7">
        <v>1</v>
      </c>
      <c r="H24" s="25" t="s">
        <v>42</v>
      </c>
      <c r="J24" s="2" t="e">
        <f t="shared" si="0"/>
        <v>#VALUE!</v>
      </c>
      <c r="N24" s="2">
        <f>200/E24</f>
        <v>1.66666666666667</v>
      </c>
      <c r="O24" s="2">
        <f>850/E24</f>
        <v>7.08333333333333</v>
      </c>
    </row>
    <row r="25" spans="1:16">
      <c r="A25" s="5" t="s">
        <v>8</v>
      </c>
      <c r="B25" s="5" t="s">
        <v>69</v>
      </c>
      <c r="C25" s="6">
        <v>1</v>
      </c>
      <c r="D25" s="20">
        <v>310</v>
      </c>
      <c r="E25" s="6">
        <v>310</v>
      </c>
      <c r="F25" s="7">
        <v>310</v>
      </c>
      <c r="G25" s="7">
        <v>1</v>
      </c>
      <c r="H25" s="21" t="s">
        <v>135</v>
      </c>
      <c r="J25" s="2">
        <f t="shared" si="0"/>
        <v>310</v>
      </c>
      <c r="L25" s="4">
        <v>1</v>
      </c>
      <c r="M25" s="4">
        <v>4</v>
      </c>
      <c r="N25" s="2">
        <f>700/E25</f>
        <v>2.25806451612903</v>
      </c>
      <c r="O25" s="2">
        <f>1300/E25</f>
        <v>4.19354838709677</v>
      </c>
      <c r="P25" s="12">
        <v>5</v>
      </c>
    </row>
    <row r="26" spans="1:16">
      <c r="A26" s="5" t="s">
        <v>8</v>
      </c>
      <c r="B26" s="5" t="s">
        <v>71</v>
      </c>
      <c r="C26" s="5" t="s">
        <v>42</v>
      </c>
      <c r="D26" s="6"/>
      <c r="E26" s="6">
        <v>480</v>
      </c>
      <c r="F26" s="7">
        <v>480</v>
      </c>
      <c r="G26" s="7">
        <v>1</v>
      </c>
      <c r="H26" s="29"/>
      <c r="J26" s="2" t="e">
        <f t="shared" si="0"/>
        <v>#VALUE!</v>
      </c>
      <c r="N26" s="2">
        <f>700/E26</f>
        <v>1.45833333333333</v>
      </c>
      <c r="O26" s="2">
        <f>1300/E26</f>
        <v>2.70833333333333</v>
      </c>
    </row>
    <row r="27" spans="1:16">
      <c r="A27" s="5" t="s">
        <v>8</v>
      </c>
      <c r="B27" s="5" t="s">
        <v>74</v>
      </c>
      <c r="C27" s="5" t="s">
        <v>42</v>
      </c>
      <c r="D27" s="6"/>
      <c r="E27" s="6">
        <v>580</v>
      </c>
      <c r="F27" s="7">
        <v>585</v>
      </c>
      <c r="G27" s="7">
        <v>1</v>
      </c>
      <c r="H27" s="21"/>
      <c r="J27" s="2" t="e">
        <f t="shared" si="0"/>
        <v>#VALUE!</v>
      </c>
      <c r="N27" s="2">
        <f>700/E27</f>
        <v>1.20689655172414</v>
      </c>
      <c r="O27" s="2">
        <f>1300/E27</f>
        <v>2.24137931034483</v>
      </c>
    </row>
    <row r="28" spans="1:16">
      <c r="A28" s="5" t="s">
        <v>8</v>
      </c>
      <c r="B28" s="5" t="s">
        <v>77</v>
      </c>
      <c r="C28" s="6">
        <v>1</v>
      </c>
      <c r="D28" s="10">
        <v>300</v>
      </c>
      <c r="E28" s="6">
        <v>300</v>
      </c>
      <c r="F28" s="7">
        <v>300</v>
      </c>
      <c r="G28" s="8">
        <v>1</v>
      </c>
      <c r="H28" s="21"/>
      <c r="J28" s="2">
        <f t="shared" si="0"/>
        <v>300</v>
      </c>
      <c r="L28" s="4">
        <v>1</v>
      </c>
      <c r="M28" s="4">
        <v>4</v>
      </c>
      <c r="N28" s="2">
        <f>700/E28</f>
        <v>2.33333333333333</v>
      </c>
      <c r="O28" s="2">
        <f>1300/E28</f>
        <v>4.33333333333333</v>
      </c>
      <c r="P28" s="12">
        <v>5</v>
      </c>
    </row>
    <row r="29" ht="26.4" hidden="1" spans="1:16">
      <c r="A29" s="5" t="s">
        <v>8</v>
      </c>
      <c r="B29" s="23" t="s">
        <v>80</v>
      </c>
      <c r="C29" s="6">
        <v>1</v>
      </c>
      <c r="D29" s="10">
        <v>200</v>
      </c>
      <c r="E29" s="6">
        <v>200</v>
      </c>
      <c r="F29" s="7">
        <v>200</v>
      </c>
      <c r="G29" s="7">
        <v>1</v>
      </c>
      <c r="H29" s="25" t="s">
        <v>140</v>
      </c>
      <c r="J29" s="2">
        <f t="shared" si="0"/>
        <v>200</v>
      </c>
      <c r="L29" s="4"/>
      <c r="M29" s="4"/>
      <c r="N29" s="2">
        <f>700/E29</f>
        <v>3.5</v>
      </c>
      <c r="O29" s="2">
        <f>1300/E29</f>
        <v>6.5</v>
      </c>
      <c r="P29" s="4">
        <v>2</v>
      </c>
    </row>
    <row r="30" hidden="1" spans="1:16">
      <c r="A30" s="5" t="s">
        <v>8</v>
      </c>
      <c r="B30" s="23" t="s">
        <v>81</v>
      </c>
      <c r="C30" s="5" t="s">
        <v>42</v>
      </c>
      <c r="D30" s="6"/>
      <c r="E30" s="6">
        <v>311</v>
      </c>
      <c r="F30" s="7">
        <v>311</v>
      </c>
      <c r="G30" s="7">
        <v>1</v>
      </c>
      <c r="H30" s="25"/>
      <c r="J30" s="2" t="e">
        <f t="shared" si="0"/>
        <v>#VALUE!</v>
      </c>
      <c r="N30" s="2">
        <f>200/E30</f>
        <v>0.643086816720257</v>
      </c>
      <c r="O30" s="2">
        <f>850/E30</f>
        <v>2.73311897106109</v>
      </c>
    </row>
    <row r="31" spans="1:16">
      <c r="A31" s="5" t="s">
        <v>8</v>
      </c>
      <c r="B31" s="5" t="s">
        <v>82</v>
      </c>
      <c r="C31" s="5" t="s">
        <v>42</v>
      </c>
      <c r="D31" s="6"/>
      <c r="E31" s="6">
        <v>2950</v>
      </c>
      <c r="F31" s="7">
        <v>2950</v>
      </c>
      <c r="G31" s="7">
        <v>1</v>
      </c>
      <c r="H31" s="6"/>
      <c r="J31" s="2" t="e">
        <f t="shared" si="0"/>
        <v>#VALUE!</v>
      </c>
      <c r="N31" s="2">
        <f>700/E31</f>
        <v>0.23728813559322</v>
      </c>
      <c r="O31" s="2">
        <f>1300/E31</f>
        <v>0.440677966101695</v>
      </c>
    </row>
    <row r="32" hidden="1" spans="1:16">
      <c r="A32" s="5" t="s">
        <v>8</v>
      </c>
      <c r="B32" s="23" t="s">
        <v>86</v>
      </c>
      <c r="C32" s="6">
        <v>2</v>
      </c>
      <c r="D32" s="6">
        <v>480</v>
      </c>
      <c r="E32" s="6">
        <v>480</v>
      </c>
      <c r="F32" s="7">
        <v>480</v>
      </c>
      <c r="G32" s="7">
        <v>1</v>
      </c>
      <c r="H32" s="25" t="s">
        <v>88</v>
      </c>
      <c r="I32" s="2" t="s">
        <v>141</v>
      </c>
      <c r="J32" s="2">
        <f t="shared" si="0"/>
        <v>960</v>
      </c>
      <c r="N32" s="2">
        <f>200/E32</f>
        <v>0.416666666666667</v>
      </c>
      <c r="O32" s="2">
        <f>850/E32</f>
        <v>1.77083333333333</v>
      </c>
      <c r="P32" s="4">
        <v>2</v>
      </c>
    </row>
    <row r="33" spans="1:15">
      <c r="A33" s="5" t="s">
        <v>8</v>
      </c>
      <c r="B33" s="5" t="s">
        <v>89</v>
      </c>
      <c r="C33" s="5" t="s">
        <v>42</v>
      </c>
      <c r="D33" s="6"/>
      <c r="E33" s="6">
        <v>1650</v>
      </c>
      <c r="F33" s="7">
        <v>1650</v>
      </c>
      <c r="G33" s="7">
        <v>1</v>
      </c>
      <c r="H33" s="21"/>
      <c r="J33" s="2" t="e">
        <f t="shared" si="0"/>
        <v>#VALUE!</v>
      </c>
      <c r="N33" s="2">
        <f>700/E33</f>
        <v>0.424242424242424</v>
      </c>
      <c r="O33" s="2">
        <f>1300/E33</f>
        <v>0.787878787878788</v>
      </c>
    </row>
    <row r="34" spans="1:15">
      <c r="A34" s="5" t="s">
        <v>8</v>
      </c>
      <c r="B34" s="5" t="s">
        <v>92</v>
      </c>
      <c r="C34" s="5" t="s">
        <v>42</v>
      </c>
      <c r="D34" s="6"/>
      <c r="E34" s="6">
        <v>420</v>
      </c>
      <c r="F34" s="7">
        <v>420</v>
      </c>
      <c r="G34" s="7">
        <v>1</v>
      </c>
      <c r="H34" s="21"/>
      <c r="J34" s="2" t="e">
        <f t="shared" si="0"/>
        <v>#VALUE!</v>
      </c>
      <c r="N34" s="2">
        <f>700/E34</f>
        <v>1.66666666666667</v>
      </c>
      <c r="O34" s="2">
        <f>1300/E34</f>
        <v>3.0952380952381</v>
      </c>
    </row>
    <row r="36" spans="1:15">
      <c r="L36" s="2" t="s">
        <v>142</v>
      </c>
    </row>
  </sheetData>
  <autoFilter xmlns:etc="http://www.wps.cn/officeDocument/2017/etCustomData" ref="A1:Q34" etc:filterBottomFollowUsedRange="0">
    <filterColumn colId="1">
      <colorFilter dxfId="0"/>
    </filterColumn>
    <extLst/>
  </autoFilter>
  <mergeCells count="5">
    <mergeCell ref="C5:C6"/>
    <mergeCell ref="C8:C12"/>
    <mergeCell ref="G10:G12"/>
    <mergeCell ref="L8:L12"/>
    <mergeCell ref="M8:M12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G10" sqref="G10"/>
    </sheetView>
  </sheetViews>
  <sheetFormatPr defaultColWidth="8.88888888888889" defaultRowHeight="14.4" outlineLevelRow="1" outlineLevelCol="2"/>
  <cols>
    <col min="2" max="2" width="16.4444444444444" customWidth="1"/>
  </cols>
  <sheetData>
    <row r="1" spans="1:3">
      <c r="B1" t="s">
        <v>143</v>
      </c>
      <c r="C1" t="s">
        <v>144</v>
      </c>
    </row>
    <row r="2" spans="1:3">
      <c r="A2" t="s">
        <v>145</v>
      </c>
      <c r="B2" t="s">
        <v>146</v>
      </c>
      <c r="C2" t="s">
        <v>147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G16" sqref="G16"/>
    </sheetView>
  </sheetViews>
  <sheetFormatPr defaultColWidth="8.88888888888889" defaultRowHeight="14.4" outlineLevelRow="2" outlineLevelCol="4"/>
  <cols>
    <col min="5" max="5" width="12.8888888888889"/>
  </cols>
  <sheetData>
    <row r="1" spans="1:5">
      <c r="B1" t="s">
        <v>148</v>
      </c>
      <c r="C1" t="s">
        <v>149</v>
      </c>
      <c r="D1" t="s">
        <v>150</v>
      </c>
    </row>
    <row r="2" spans="1:5">
      <c r="A2" t="s">
        <v>151</v>
      </c>
      <c r="B2" s="1">
        <v>50000</v>
      </c>
      <c r="C2" s="1">
        <v>30000</v>
      </c>
      <c r="D2" s="1">
        <v>30000</v>
      </c>
      <c r="E2">
        <f>(B2+C2+D2)/12/26*1.2</f>
        <v>423.076923076923</v>
      </c>
    </row>
    <row r="3" spans="1:5">
      <c r="A3" t="s">
        <v>144</v>
      </c>
      <c r="B3" s="1">
        <v>50000</v>
      </c>
      <c r="C3" s="1"/>
      <c r="D3" s="1"/>
      <c r="E3">
        <f>(B3+C3+D3)/12/26*1.2</f>
        <v>192.307692307692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2" sqref="H12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Sheet1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请你吃饭</cp:lastModifiedBy>
  <dcterms:created xsi:type="dcterms:W3CDTF">2023-05-12T11:15:00Z</dcterms:created>
  <dcterms:modified xsi:type="dcterms:W3CDTF">2026-03-27T07:18:23Z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1DD9DE3550B443228C4E2556AA9396C4_12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